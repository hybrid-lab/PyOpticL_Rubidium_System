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"/>
    </mc:Choice>
  </mc:AlternateContent>
  <xr:revisionPtr revIDLastSave="0" documentId="13_ncr:1_{2904F97F-50AD-A44E-B569-9DC9913C8B43}" xr6:coauthVersionLast="47" xr6:coauthVersionMax="47" xr10:uidLastSave="{00000000-0000-0000-0000-000000000000}"/>
  <bookViews>
    <workbookView xWindow="0" yWindow="740" windowWidth="29400" windowHeight="16680" xr2:uid="{2C0518BD-81B3-2E40-93F6-7012D65C5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38" i="1"/>
  <c r="H37" i="1"/>
</calcChain>
</file>

<file path=xl/sharedStrings.xml><?xml version="1.0" encoding="utf-8"?>
<sst xmlns="http://schemas.openxmlformats.org/spreadsheetml/2006/main" count="132" uniqueCount="57">
  <si>
    <t>Adaptors</t>
  </si>
  <si>
    <t>#</t>
  </si>
  <si>
    <t>IPS_adapter.step</t>
  </si>
  <si>
    <t>FMP05_Adapter.step</t>
  </si>
  <si>
    <t>Surface_Adapter_rsp05_lip.step</t>
  </si>
  <si>
    <t>Surface_Adapter_isolator_lip.step</t>
  </si>
  <si>
    <t>cube_mount_halfinch.step</t>
  </si>
  <si>
    <t xml:space="preserve">RSP05 </t>
  </si>
  <si>
    <t>IOT-5-850-MP</t>
  </si>
  <si>
    <t>KA05T</t>
  </si>
  <si>
    <t>FMP05</t>
  </si>
  <si>
    <t>M05</t>
  </si>
  <si>
    <t>SM05L05</t>
  </si>
  <si>
    <t xml:space="preserve">SM05FCA2 </t>
  </si>
  <si>
    <t>BB05-E03</t>
  </si>
  <si>
    <t>S05TM09</t>
  </si>
  <si>
    <t>cube</t>
  </si>
  <si>
    <t>Adapters</t>
  </si>
  <si>
    <t>TA_adapter.step</t>
  </si>
  <si>
    <t>AOM_adapter.step</t>
  </si>
  <si>
    <t>Shutter_adapter.step</t>
  </si>
  <si>
    <t>RSP05</t>
  </si>
  <si>
    <t>IO-3D-780-VLP</t>
  </si>
  <si>
    <t>LA1614-B</t>
  </si>
  <si>
    <t>AOMO_3100_125</t>
  </si>
  <si>
    <t>Iris</t>
  </si>
  <si>
    <t>SRS SR475 Shutter</t>
  </si>
  <si>
    <t>Koheron_adapter.step</t>
  </si>
  <si>
    <t>Rb_Cell_1.stl</t>
  </si>
  <si>
    <t>Rb_Cell_2.stl</t>
  </si>
  <si>
    <t>Surface_Adapter_PD.step</t>
  </si>
  <si>
    <t>RSP05 </t>
  </si>
  <si>
    <t>KM05T</t>
  </si>
  <si>
    <t>SM05FCA2 </t>
  </si>
  <si>
    <t>PD</t>
  </si>
  <si>
    <t>Rb Vapor Cell</t>
  </si>
  <si>
    <t>Surface_Adapter_aom.step</t>
  </si>
  <si>
    <t>AOM_Adapter.step</t>
  </si>
  <si>
    <t>Iris_Mount.step</t>
  </si>
  <si>
    <t>Shutter_Adapter.step</t>
  </si>
  <si>
    <t>AOM_Baseplate.step</t>
  </si>
  <si>
    <t>iris</t>
  </si>
  <si>
    <t>LA4004-AB</t>
  </si>
  <si>
    <t>3*Laser Board2</t>
  </si>
  <si>
    <t>3*Repumper_Baseplate_consolidated</t>
  </si>
  <si>
    <t>1*SAS Board</t>
  </si>
  <si>
    <t>1*AOM Board</t>
  </si>
  <si>
    <t>Total</t>
  </si>
  <si>
    <t>Laser_Baseplate2.step</t>
  </si>
  <si>
    <t>SAS_Baseplate.step</t>
  </si>
  <si>
    <t>TA_Baseplate2.step</t>
  </si>
  <si>
    <t>Repumper_Baseplate_consolidated.step</t>
  </si>
  <si>
    <t>3*TA_Baseplate_V2</t>
  </si>
  <si>
    <t>2*SAS Board</t>
  </si>
  <si>
    <t>6*TA_Baseplate_V2</t>
  </si>
  <si>
    <t>0*Repumper_Baseplate_consolidated</t>
  </si>
  <si>
    <t>0*AOM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</si>
</sst>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horlabs.com/thorproduct.cfm?partnumber=BB05-E03" TargetMode="External"/><Relationship Id="rId21" Type="http://schemas.openxmlformats.org/officeDocument/2006/relationships/hyperlink" Target="https://gandh.com/products/acousto-optics/modulators/aomo-3100-125" TargetMode="External"/><Relationship Id="rId42" Type="http://schemas.openxmlformats.org/officeDocument/2006/relationships/hyperlink" Target="https://www.thorlabs.com/thorproduct.cfm?partnumber=BB05-E03" TargetMode="External"/><Relationship Id="rId47" Type="http://schemas.openxmlformats.org/officeDocument/2006/relationships/hyperlink" Target="https://www.thorlabs.com/thorproduct.cfm?partnumber=KA05T" TargetMode="External"/><Relationship Id="rId63" Type="http://schemas.openxmlformats.org/officeDocument/2006/relationships/hyperlink" Target="https://www.thorlabs.com/thorproduct.cfm?partnumber=SM05L05" TargetMode="External"/><Relationship Id="rId68" Type="http://schemas.openxmlformats.org/officeDocument/2006/relationships/hyperlink" Target="https://www.thorlabs.de/thorproduct.cfm?partnumber=LA4004-AB" TargetMode="External"/><Relationship Id="rId7" Type="http://schemas.openxmlformats.org/officeDocument/2006/relationships/hyperlink" Target="http://thorlabs.com/thorproduct.cfm?partnumber=FMP05" TargetMode="External"/><Relationship Id="rId71" Type="http://schemas.openxmlformats.org/officeDocument/2006/relationships/hyperlink" Target="https://www.thorlabs.com/thorproduct.cfm?partnumber=RSP05" TargetMode="External"/><Relationship Id="rId2" Type="http://schemas.openxmlformats.org/officeDocument/2006/relationships/hyperlink" Target="https://www.thorlabs.com/thorproduct.cfm?partnumber=SM05FCA2" TargetMode="External"/><Relationship Id="rId16" Type="http://schemas.openxmlformats.org/officeDocument/2006/relationships/hyperlink" Target="https://www.thorlabs.com/thorproduct.cfm?partnumber=IO-3D-780-VLP" TargetMode="External"/><Relationship Id="rId29" Type="http://schemas.openxmlformats.org/officeDocument/2006/relationships/hyperlink" Target="https://www.newport.com/p/M05" TargetMode="External"/><Relationship Id="rId11" Type="http://schemas.openxmlformats.org/officeDocument/2006/relationships/hyperlink" Target="https://www.thorlabs.com/thorproduct.cfm?partnumber=KA05T" TargetMode="External"/><Relationship Id="rId24" Type="http://schemas.openxmlformats.org/officeDocument/2006/relationships/hyperlink" Target="https://www.newport.com/p/M05" TargetMode="External"/><Relationship Id="rId32" Type="http://schemas.openxmlformats.org/officeDocument/2006/relationships/hyperlink" Target="https://www.thorlabs.com/thorproduct.cfm?partnumber=BB05-E03" TargetMode="External"/><Relationship Id="rId37" Type="http://schemas.openxmlformats.org/officeDocument/2006/relationships/hyperlink" Target="http://thorlabs.com/thorproduct.cfm?partnumber=FMP05" TargetMode="External"/><Relationship Id="rId40" Type="http://schemas.openxmlformats.org/officeDocument/2006/relationships/hyperlink" Target="https://www.thorlabs.com/thorproduct.cfm?partnumber=SM05L05" TargetMode="External"/><Relationship Id="rId45" Type="http://schemas.openxmlformats.org/officeDocument/2006/relationships/hyperlink" Target="https://gandh.com/products/acousto-optics/modulators/aomo-3100-125" TargetMode="External"/><Relationship Id="rId53" Type="http://schemas.openxmlformats.org/officeDocument/2006/relationships/hyperlink" Target="https://www.thorlabs.com/thorproduct.cfm?partnumber=SM05FCA2" TargetMode="External"/><Relationship Id="rId58" Type="http://schemas.openxmlformats.org/officeDocument/2006/relationships/hyperlink" Target="https://www.thinksrs.com/products/sr470474.html" TargetMode="External"/><Relationship Id="rId66" Type="http://schemas.openxmlformats.org/officeDocument/2006/relationships/hyperlink" Target="https://www.thorlabs.com/thorproduct.cfm?partnumber=IOT-5-850-MP" TargetMode="External"/><Relationship Id="rId5" Type="http://schemas.openxmlformats.org/officeDocument/2006/relationships/hyperlink" Target="https://www.thorlabs.com/thorproduct.cfm?partnumber=BB05-E03" TargetMode="External"/><Relationship Id="rId61" Type="http://schemas.openxmlformats.org/officeDocument/2006/relationships/hyperlink" Target="https://www.thorlabs.com/thorproduct.cfm?partnumber=BB05-E03" TargetMode="External"/><Relationship Id="rId19" Type="http://schemas.openxmlformats.org/officeDocument/2006/relationships/hyperlink" Target="https://www.thorlabs.com/thorproduct.cfm?partnumber=RSP05" TargetMode="External"/><Relationship Id="rId14" Type="http://schemas.openxmlformats.org/officeDocument/2006/relationships/hyperlink" Target="https://www.thinksrs.com/products/sr470474.html" TargetMode="External"/><Relationship Id="rId22" Type="http://schemas.openxmlformats.org/officeDocument/2006/relationships/hyperlink" Target="https://www.thorlabs.us/thorproduct.cfm?partnumber=IDA12-P5" TargetMode="External"/><Relationship Id="rId27" Type="http://schemas.openxmlformats.org/officeDocument/2006/relationships/hyperlink" Target="https://www.thorlabs.com/thorproduct.cfm?partnumber=LA1614-B" TargetMode="External"/><Relationship Id="rId30" Type="http://schemas.openxmlformats.org/officeDocument/2006/relationships/hyperlink" Target="https://www.thorlabs.com/thorproduct.cfm?partnumber=SM05L05" TargetMode="External"/><Relationship Id="rId35" Type="http://schemas.openxmlformats.org/officeDocument/2006/relationships/hyperlink" Target="https://www.thorlabs.com/thorproduct.cfm?partnumber=GC25075-RB" TargetMode="External"/><Relationship Id="rId43" Type="http://schemas.openxmlformats.org/officeDocument/2006/relationships/hyperlink" Target="https://www.thorlabs.com/thorproduct.cfm?partnumber=S05TM09" TargetMode="External"/><Relationship Id="rId48" Type="http://schemas.openxmlformats.org/officeDocument/2006/relationships/hyperlink" Target="https://www.thorlabs.de/thorproduct.cfm?partnumber=LA4004-AB" TargetMode="External"/><Relationship Id="rId56" Type="http://schemas.openxmlformats.org/officeDocument/2006/relationships/hyperlink" Target="https://gandh.com/products/acousto-optics/modulators/aomo-3100-125" TargetMode="External"/><Relationship Id="rId64" Type="http://schemas.openxmlformats.org/officeDocument/2006/relationships/hyperlink" Target="https://www.thorlabs.com/thorproduct.cfm?partnumber=SM05FCA2" TargetMode="External"/><Relationship Id="rId69" Type="http://schemas.openxmlformats.org/officeDocument/2006/relationships/hyperlink" Target="https://www.thorlabs.com/thorproduct.cfm?partnumber=PDB250A" TargetMode="External"/><Relationship Id="rId8" Type="http://schemas.openxmlformats.org/officeDocument/2006/relationships/hyperlink" Target="https://www.newport.com/p/M05" TargetMode="External"/><Relationship Id="rId51" Type="http://schemas.openxmlformats.org/officeDocument/2006/relationships/hyperlink" Target="https://www.thorlabs.com/thorproduct.cfm?partnumber=S05TM09" TargetMode="External"/><Relationship Id="rId3" Type="http://schemas.openxmlformats.org/officeDocument/2006/relationships/hyperlink" Target="https://www.thorlabs.com/thorproduct.cfm?partnumber=KA05T" TargetMode="External"/><Relationship Id="rId12" Type="http://schemas.openxmlformats.org/officeDocument/2006/relationships/hyperlink" Target="https://gandh.com/products/acousto-optics/modulators/aomo-3100-125" TargetMode="External"/><Relationship Id="rId17" Type="http://schemas.openxmlformats.org/officeDocument/2006/relationships/hyperlink" Target="https://www.thorlabs.com/thorproduct.cfm?partnumber=BB05-E03" TargetMode="External"/><Relationship Id="rId25" Type="http://schemas.openxmlformats.org/officeDocument/2006/relationships/hyperlink" Target="https://www.thorlabs.com/thorproduct.cfm?partnumber=IO-3D-780-VLP" TargetMode="External"/><Relationship Id="rId33" Type="http://schemas.openxmlformats.org/officeDocument/2006/relationships/hyperlink" Target="https://www.thorlabs.com/thorproduct.cfm?partnumber=S05TM09" TargetMode="External"/><Relationship Id="rId38" Type="http://schemas.openxmlformats.org/officeDocument/2006/relationships/hyperlink" Target="https://www.newport.com/p/M05" TargetMode="External"/><Relationship Id="rId46" Type="http://schemas.openxmlformats.org/officeDocument/2006/relationships/hyperlink" Target="https://www.thorlabs.us/thorproduct.cfm?partnumber=IDA12-P5" TargetMode="External"/><Relationship Id="rId59" Type="http://schemas.openxmlformats.org/officeDocument/2006/relationships/hyperlink" Target="https://www.newport.com/p/M05" TargetMode="External"/><Relationship Id="rId67" Type="http://schemas.openxmlformats.org/officeDocument/2006/relationships/hyperlink" Target="http://thorlabs.com/thorproduct.cfm?partnumber=FMP05" TargetMode="External"/><Relationship Id="rId20" Type="http://schemas.openxmlformats.org/officeDocument/2006/relationships/hyperlink" Target="https://www.thorlabs.com/thorproduct.cfm?partnumber=KA05T" TargetMode="External"/><Relationship Id="rId41" Type="http://schemas.openxmlformats.org/officeDocument/2006/relationships/hyperlink" Target="https://www.thorlabs.com/thorproduct.cfm?partnumber=SM05FCA2" TargetMode="External"/><Relationship Id="rId54" Type="http://schemas.openxmlformats.org/officeDocument/2006/relationships/hyperlink" Target="https://www.thorlabs.com/thorproduct.cfm?partnumber=S05TM09" TargetMode="External"/><Relationship Id="rId62" Type="http://schemas.openxmlformats.org/officeDocument/2006/relationships/hyperlink" Target="https://www.thorlabs.com/thorproduct.cfm?partnumber=LA1614-B" TargetMode="External"/><Relationship Id="rId70" Type="http://schemas.openxmlformats.org/officeDocument/2006/relationships/hyperlink" Target="https://www.thorlabs.com/thorproduct.cfm?partnumber=GC25075-RB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5" Type="http://schemas.openxmlformats.org/officeDocument/2006/relationships/hyperlink" Target="https://www.newport.com/p/M05" TargetMode="External"/><Relationship Id="rId23" Type="http://schemas.openxmlformats.org/officeDocument/2006/relationships/hyperlink" Target="https://www.thinksrs.com/products/sr470474.html" TargetMode="External"/><Relationship Id="rId28" Type="http://schemas.openxmlformats.org/officeDocument/2006/relationships/hyperlink" Target="https://www.thorlabs.com/thorproduct.cfm?partnumber=RSP05" TargetMode="External"/><Relationship Id="rId36" Type="http://schemas.openxmlformats.org/officeDocument/2006/relationships/hyperlink" Target="https://www.thorlabs.com/thorproduct.cfm?partnumber=RSP05" TargetMode="External"/><Relationship Id="rId49" Type="http://schemas.openxmlformats.org/officeDocument/2006/relationships/hyperlink" Target="https://www.thorlabs.com/thorproduct.cfm?partnumber=SM05L05" TargetMode="External"/><Relationship Id="rId57" Type="http://schemas.openxmlformats.org/officeDocument/2006/relationships/hyperlink" Target="https://www.thorlabs.us/thorproduct.cfm?partnumber=IDA12-P5" TargetMode="External"/><Relationship Id="rId10" Type="http://schemas.openxmlformats.org/officeDocument/2006/relationships/hyperlink" Target="https://www.thorlabs.com/thorproduct.cfm?partnumber=RSP05" TargetMode="External"/><Relationship Id="rId31" Type="http://schemas.openxmlformats.org/officeDocument/2006/relationships/hyperlink" Target="https://www.thorlabs.com/thorproduct.cfm?partnumber=SM05FCA2" TargetMode="External"/><Relationship Id="rId44" Type="http://schemas.openxmlformats.org/officeDocument/2006/relationships/hyperlink" Target="https://www.thinksrs.com/products/sr470474.html" TargetMode="External"/><Relationship Id="rId52" Type="http://schemas.openxmlformats.org/officeDocument/2006/relationships/hyperlink" Target="https://www.thorlabs.com/thorproduct.cfm?partnumber=SM05L05" TargetMode="External"/><Relationship Id="rId60" Type="http://schemas.openxmlformats.org/officeDocument/2006/relationships/hyperlink" Target="https://www.thorlabs.com/thorproduct.cfm?partnumber=IO-3D-780-VLP" TargetMode="External"/><Relationship Id="rId65" Type="http://schemas.openxmlformats.org/officeDocument/2006/relationships/hyperlink" Target="https://www.thorlabs.com/thorproduct.cfm?partnumber=S05TM09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thorproduct.cfm?partnumber=IOT-5-850-MP" TargetMode="External"/><Relationship Id="rId13" Type="http://schemas.openxmlformats.org/officeDocument/2006/relationships/hyperlink" Target="https://www.thorlabs.us/thorproduct.cfm?partnumber=IDA12-P5" TargetMode="External"/><Relationship Id="rId18" Type="http://schemas.openxmlformats.org/officeDocument/2006/relationships/hyperlink" Target="https://www.thorlabs.com/thorproduct.cfm?partnumber=LA1614-B" TargetMode="External"/><Relationship Id="rId39" Type="http://schemas.openxmlformats.org/officeDocument/2006/relationships/hyperlink" Target="https://www.thorlabs.com/thorproduct.cfm?partnumber=KM05T" TargetMode="External"/><Relationship Id="rId34" Type="http://schemas.openxmlformats.org/officeDocument/2006/relationships/hyperlink" Target="https://www.thorlabs.com/thorproduct.cfm?partnumber=PDB250A" TargetMode="External"/><Relationship Id="rId50" Type="http://schemas.openxmlformats.org/officeDocument/2006/relationships/hyperlink" Target="https://www.thorlabs.com/thorproduct.cfm?partnumber=SM05FCA2" TargetMode="External"/><Relationship Id="rId55" Type="http://schemas.openxmlformats.org/officeDocument/2006/relationships/hyperlink" Target="https://www.thorlabs.com/thorproduct.cfm?partnumber=KA05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C87A-546B-A944-9F78-BB5FDCEF799A}">
  <dimension ref="B3:K54"/>
  <sheetViews>
    <sheetView tabSelected="1" topLeftCell="A35" zoomScale="119" workbookViewId="0">
      <selection activeCell="F52" sqref="F52"/>
    </sheetView>
  </sheetViews>
  <sheetFormatPr baseColWidth="10" defaultColWidth="30.83203125" defaultRowHeight="25" customHeight="1" x14ac:dyDescent="0.2"/>
  <cols>
    <col min="1" max="4" width="30.83203125" style="1"/>
    <col min="5" max="5" width="31.83203125" style="1" customWidth="1"/>
    <col min="6" max="6" width="34.33203125" style="1" customWidth="1"/>
    <col min="7" max="16384" width="30.83203125" style="1"/>
  </cols>
  <sheetData>
    <row r="3" spans="2:11" ht="25" customHeight="1" x14ac:dyDescent="0.2">
      <c r="B3" s="1" t="s">
        <v>43</v>
      </c>
      <c r="D3" s="1" t="s">
        <v>52</v>
      </c>
      <c r="F3" s="1" t="s">
        <v>44</v>
      </c>
      <c r="H3" s="2" t="s">
        <v>45</v>
      </c>
      <c r="I3" s="2"/>
      <c r="J3" s="2" t="s">
        <v>46</v>
      </c>
      <c r="K3" s="2"/>
    </row>
    <row r="4" spans="2:11" ht="25" customHeight="1" x14ac:dyDescent="0.2">
      <c r="H4" s="2"/>
      <c r="I4" s="2"/>
      <c r="J4" s="2"/>
      <c r="K4" s="2"/>
    </row>
    <row r="5" spans="2:11" ht="25" customHeight="1" x14ac:dyDescent="0.2">
      <c r="B5" s="1" t="s">
        <v>0</v>
      </c>
      <c r="C5" s="1" t="s">
        <v>1</v>
      </c>
      <c r="D5" s="1" t="s">
        <v>17</v>
      </c>
      <c r="E5" s="1" t="s">
        <v>1</v>
      </c>
      <c r="F5" s="1" t="s">
        <v>17</v>
      </c>
      <c r="G5" s="1" t="s">
        <v>1</v>
      </c>
      <c r="H5" s="2" t="s">
        <v>0</v>
      </c>
      <c r="I5" s="2" t="s">
        <v>1</v>
      </c>
      <c r="J5" s="2" t="s">
        <v>0</v>
      </c>
      <c r="K5" s="2" t="s">
        <v>1</v>
      </c>
    </row>
    <row r="6" spans="2:11" ht="25" customHeight="1" x14ac:dyDescent="0.2">
      <c r="B6" s="1" t="s">
        <v>2</v>
      </c>
      <c r="C6" s="1">
        <v>1</v>
      </c>
      <c r="D6" s="1" t="s">
        <v>18</v>
      </c>
      <c r="E6" s="1">
        <v>1</v>
      </c>
      <c r="F6" s="1" t="s">
        <v>27</v>
      </c>
      <c r="G6" s="1">
        <v>1</v>
      </c>
      <c r="H6" s="2" t="s">
        <v>4</v>
      </c>
      <c r="I6" s="2">
        <v>4</v>
      </c>
      <c r="J6" s="2" t="s">
        <v>3</v>
      </c>
      <c r="K6" s="2">
        <v>1</v>
      </c>
    </row>
    <row r="7" spans="2:11" ht="25" customHeight="1" x14ac:dyDescent="0.2">
      <c r="B7" s="1" t="s">
        <v>3</v>
      </c>
      <c r="C7" s="1">
        <v>1</v>
      </c>
      <c r="D7" s="1" t="s">
        <v>19</v>
      </c>
      <c r="E7" s="1">
        <v>1</v>
      </c>
      <c r="F7" s="1" t="s">
        <v>19</v>
      </c>
      <c r="G7" s="1">
        <v>1</v>
      </c>
      <c r="H7" s="2" t="s">
        <v>28</v>
      </c>
      <c r="I7" s="2">
        <v>1</v>
      </c>
      <c r="J7" s="2" t="s">
        <v>4</v>
      </c>
      <c r="K7" s="2">
        <v>4</v>
      </c>
    </row>
    <row r="8" spans="2:11" ht="25" customHeight="1" x14ac:dyDescent="0.2">
      <c r="B8" s="1" t="s">
        <v>4</v>
      </c>
      <c r="C8" s="1">
        <v>7</v>
      </c>
      <c r="D8" s="1" t="s">
        <v>4</v>
      </c>
      <c r="E8" s="1">
        <v>7</v>
      </c>
      <c r="F8" s="1" t="s">
        <v>4</v>
      </c>
      <c r="G8" s="1">
        <v>7</v>
      </c>
      <c r="H8" s="2" t="s">
        <v>29</v>
      </c>
      <c r="I8" s="2">
        <v>1</v>
      </c>
      <c r="J8" s="1" t="s">
        <v>6</v>
      </c>
      <c r="K8" s="2">
        <v>1</v>
      </c>
    </row>
    <row r="9" spans="2:11" ht="25" customHeight="1" x14ac:dyDescent="0.2">
      <c r="B9" s="1" t="s">
        <v>5</v>
      </c>
      <c r="C9" s="1">
        <v>1</v>
      </c>
      <c r="D9" s="1" t="s">
        <v>5</v>
      </c>
      <c r="E9" s="1">
        <v>1</v>
      </c>
      <c r="F9" s="1" t="s">
        <v>5</v>
      </c>
      <c r="G9" s="1">
        <v>1</v>
      </c>
      <c r="H9" s="2" t="s">
        <v>30</v>
      </c>
      <c r="I9" s="2">
        <v>1</v>
      </c>
      <c r="J9" s="2" t="s">
        <v>36</v>
      </c>
      <c r="K9" s="2">
        <v>1</v>
      </c>
    </row>
    <row r="10" spans="2:11" ht="25" customHeight="1" x14ac:dyDescent="0.2">
      <c r="B10" s="1" t="s">
        <v>6</v>
      </c>
      <c r="C10" s="1">
        <v>1</v>
      </c>
      <c r="D10" s="1" t="s">
        <v>6</v>
      </c>
      <c r="E10" s="1">
        <v>1</v>
      </c>
      <c r="F10" s="1" t="s">
        <v>6</v>
      </c>
      <c r="G10" s="1">
        <v>1</v>
      </c>
      <c r="H10" s="1" t="s">
        <v>6</v>
      </c>
      <c r="I10" s="2">
        <v>3</v>
      </c>
      <c r="J10" s="2" t="s">
        <v>37</v>
      </c>
      <c r="K10" s="2">
        <v>1</v>
      </c>
    </row>
    <row r="11" spans="2:11" ht="25" customHeight="1" x14ac:dyDescent="0.2">
      <c r="B11" s="1" t="s">
        <v>48</v>
      </c>
      <c r="C11" s="1">
        <v>1</v>
      </c>
      <c r="D11" s="1" t="s">
        <v>20</v>
      </c>
      <c r="E11" s="1">
        <v>1</v>
      </c>
      <c r="F11" s="1" t="s">
        <v>20</v>
      </c>
      <c r="G11" s="1">
        <v>1</v>
      </c>
      <c r="H11" s="2" t="s">
        <v>49</v>
      </c>
      <c r="I11" s="2">
        <v>1</v>
      </c>
      <c r="J11" s="2" t="s">
        <v>38</v>
      </c>
      <c r="K11" s="2">
        <v>1</v>
      </c>
    </row>
    <row r="12" spans="2:11" ht="25" customHeight="1" x14ac:dyDescent="0.2">
      <c r="D12" s="1" t="s">
        <v>50</v>
      </c>
      <c r="F12" s="1" t="s">
        <v>51</v>
      </c>
      <c r="H12" s="2"/>
      <c r="I12" s="2"/>
      <c r="J12" s="2" t="s">
        <v>39</v>
      </c>
      <c r="K12" s="2">
        <v>1</v>
      </c>
    </row>
    <row r="13" spans="2:11" ht="25" customHeight="1" x14ac:dyDescent="0.2">
      <c r="J13" s="2" t="s">
        <v>40</v>
      </c>
      <c r="K13" s="2">
        <v>1</v>
      </c>
    </row>
    <row r="15" spans="2:11" ht="25" customHeight="1" x14ac:dyDescent="0.2">
      <c r="H15" s="2"/>
      <c r="I15" s="2"/>
      <c r="J15" s="2"/>
      <c r="K15" s="2"/>
    </row>
    <row r="16" spans="2:11" ht="25" customHeight="1" x14ac:dyDescent="0.2">
      <c r="B16" s="3" t="s">
        <v>7</v>
      </c>
      <c r="C16" s="1">
        <v>7</v>
      </c>
      <c r="D16" s="3" t="s">
        <v>21</v>
      </c>
      <c r="E16" s="1">
        <v>7</v>
      </c>
      <c r="F16" s="3" t="s">
        <v>21</v>
      </c>
      <c r="G16" s="1">
        <v>7</v>
      </c>
      <c r="H16" s="3" t="s">
        <v>31</v>
      </c>
      <c r="I16" s="2">
        <v>4</v>
      </c>
      <c r="J16" s="3" t="s">
        <v>31</v>
      </c>
      <c r="K16" s="2">
        <v>4</v>
      </c>
    </row>
    <row r="17" spans="2:11" ht="25" customHeight="1" x14ac:dyDescent="0.2">
      <c r="B17" s="3" t="s">
        <v>8</v>
      </c>
      <c r="C17" s="1">
        <v>1</v>
      </c>
    </row>
    <row r="18" spans="2:11" ht="25" customHeight="1" x14ac:dyDescent="0.2">
      <c r="D18" s="3" t="s">
        <v>22</v>
      </c>
      <c r="E18" s="1">
        <v>1</v>
      </c>
      <c r="F18" s="3" t="s">
        <v>22</v>
      </c>
      <c r="G18" s="1">
        <v>1</v>
      </c>
    </row>
    <row r="19" spans="2:11" ht="25" customHeight="1" x14ac:dyDescent="0.2">
      <c r="B19" s="3" t="s">
        <v>9</v>
      </c>
      <c r="C19" s="1">
        <v>2</v>
      </c>
      <c r="D19" s="3" t="s">
        <v>9</v>
      </c>
      <c r="E19" s="1">
        <v>2</v>
      </c>
      <c r="F19" s="3" t="s">
        <v>9</v>
      </c>
      <c r="G19" s="1">
        <v>2</v>
      </c>
      <c r="H19" s="3" t="s">
        <v>9</v>
      </c>
      <c r="I19" s="2">
        <v>1</v>
      </c>
      <c r="J19" s="3" t="s">
        <v>32</v>
      </c>
      <c r="K19" s="2">
        <v>1</v>
      </c>
    </row>
    <row r="20" spans="2:11" ht="25" customHeight="1" x14ac:dyDescent="0.2">
      <c r="B20" s="3" t="s">
        <v>12</v>
      </c>
      <c r="C20" s="1">
        <v>2</v>
      </c>
      <c r="D20" s="3" t="s">
        <v>12</v>
      </c>
      <c r="E20" s="1">
        <v>2</v>
      </c>
      <c r="F20" s="3" t="s">
        <v>12</v>
      </c>
      <c r="G20" s="1">
        <v>2</v>
      </c>
      <c r="H20" s="3" t="s">
        <v>12</v>
      </c>
      <c r="I20" s="2">
        <v>1</v>
      </c>
      <c r="J20" s="3" t="s">
        <v>12</v>
      </c>
      <c r="K20" s="2">
        <v>1</v>
      </c>
    </row>
    <row r="21" spans="2:11" ht="25" customHeight="1" x14ac:dyDescent="0.2">
      <c r="B21" s="3" t="s">
        <v>13</v>
      </c>
      <c r="C21" s="1">
        <v>2</v>
      </c>
      <c r="D21" s="3" t="s">
        <v>13</v>
      </c>
      <c r="E21" s="1">
        <v>2</v>
      </c>
      <c r="F21" s="3" t="s">
        <v>13</v>
      </c>
      <c r="G21" s="1">
        <v>2</v>
      </c>
      <c r="H21" s="3" t="s">
        <v>33</v>
      </c>
      <c r="I21" s="2">
        <v>1</v>
      </c>
      <c r="J21" s="3" t="s">
        <v>33</v>
      </c>
      <c r="K21" s="2">
        <v>1</v>
      </c>
    </row>
    <row r="22" spans="2:11" ht="25" customHeight="1" x14ac:dyDescent="0.2">
      <c r="B22" s="3" t="s">
        <v>15</v>
      </c>
      <c r="C22" s="1">
        <v>2</v>
      </c>
      <c r="D22" s="3" t="s">
        <v>15</v>
      </c>
      <c r="E22" s="1">
        <v>2</v>
      </c>
      <c r="F22" s="3" t="s">
        <v>15</v>
      </c>
      <c r="G22" s="1">
        <v>2</v>
      </c>
      <c r="H22" s="3" t="s">
        <v>15</v>
      </c>
      <c r="I22" s="2">
        <v>1</v>
      </c>
      <c r="J22" s="3" t="s">
        <v>15</v>
      </c>
      <c r="K22" s="2">
        <v>1</v>
      </c>
    </row>
    <row r="23" spans="2:11" ht="25" customHeight="1" x14ac:dyDescent="0.2">
      <c r="B23" s="3" t="s">
        <v>11</v>
      </c>
      <c r="C23" s="1">
        <v>2</v>
      </c>
      <c r="D23" s="3" t="s">
        <v>11</v>
      </c>
      <c r="E23" s="1">
        <v>3</v>
      </c>
      <c r="F23" s="3" t="s">
        <v>11</v>
      </c>
      <c r="G23" s="1">
        <v>3</v>
      </c>
      <c r="H23" s="3" t="s">
        <v>11</v>
      </c>
      <c r="I23" s="2">
        <v>4</v>
      </c>
      <c r="J23" s="3" t="s">
        <v>11</v>
      </c>
      <c r="K23" s="2">
        <v>5</v>
      </c>
    </row>
    <row r="24" spans="2:11" s="4" customFormat="1" ht="25" customHeight="1" x14ac:dyDescent="0.2">
      <c r="B24" s="28" t="s">
        <v>10</v>
      </c>
      <c r="C24" s="4">
        <v>1</v>
      </c>
      <c r="J24" s="28" t="s">
        <v>10</v>
      </c>
      <c r="K24" s="29">
        <v>1</v>
      </c>
    </row>
    <row r="25" spans="2:11" ht="25" customHeight="1" x14ac:dyDescent="0.2">
      <c r="B25" s="3" t="s">
        <v>14</v>
      </c>
      <c r="C25" s="1">
        <v>2</v>
      </c>
      <c r="D25" s="3" t="s">
        <v>14</v>
      </c>
      <c r="E25" s="1">
        <v>3</v>
      </c>
      <c r="F25" s="3" t="s">
        <v>14</v>
      </c>
      <c r="G25" s="1">
        <v>3</v>
      </c>
      <c r="H25" s="3" t="s">
        <v>14</v>
      </c>
      <c r="I25" s="2">
        <v>4</v>
      </c>
      <c r="J25" s="3" t="s">
        <v>14</v>
      </c>
      <c r="K25" s="2">
        <v>5</v>
      </c>
    </row>
    <row r="26" spans="2:11" s="4" customFormat="1" ht="25" customHeight="1" x14ac:dyDescent="0.2">
      <c r="D26" s="28" t="s">
        <v>23</v>
      </c>
      <c r="E26" s="4">
        <v>2</v>
      </c>
      <c r="F26" s="28" t="s">
        <v>23</v>
      </c>
      <c r="G26" s="4">
        <v>2</v>
      </c>
    </row>
    <row r="27" spans="2:11" ht="25" customHeight="1" x14ac:dyDescent="0.2">
      <c r="J27" s="3" t="s">
        <v>42</v>
      </c>
      <c r="K27" s="2">
        <v>2</v>
      </c>
    </row>
    <row r="28" spans="2:11" s="4" customFormat="1" ht="25" customHeight="1" x14ac:dyDescent="0.2">
      <c r="D28" s="28" t="s">
        <v>24</v>
      </c>
      <c r="E28" s="4">
        <v>1</v>
      </c>
      <c r="F28" s="28" t="s">
        <v>24</v>
      </c>
      <c r="G28" s="4">
        <v>1</v>
      </c>
      <c r="J28" s="28" t="s">
        <v>24</v>
      </c>
      <c r="K28" s="29">
        <v>1</v>
      </c>
    </row>
    <row r="29" spans="2:11" ht="25" customHeight="1" x14ac:dyDescent="0.2">
      <c r="D29" s="3" t="s">
        <v>25</v>
      </c>
      <c r="E29" s="1">
        <v>1</v>
      </c>
      <c r="F29" s="3" t="s">
        <v>25</v>
      </c>
      <c r="G29" s="1">
        <v>1</v>
      </c>
      <c r="J29" s="3" t="s">
        <v>41</v>
      </c>
      <c r="K29" s="2">
        <v>1</v>
      </c>
    </row>
    <row r="30" spans="2:11" s="4" customFormat="1" ht="25" customHeight="1" x14ac:dyDescent="0.2">
      <c r="D30" s="28" t="s">
        <v>26</v>
      </c>
      <c r="E30" s="4">
        <v>1</v>
      </c>
      <c r="F30" s="28" t="s">
        <v>26</v>
      </c>
      <c r="G30" s="4">
        <v>1</v>
      </c>
      <c r="J30" s="28" t="s">
        <v>26</v>
      </c>
      <c r="K30" s="29">
        <v>1</v>
      </c>
    </row>
    <row r="31" spans="2:11" ht="25" customHeight="1" x14ac:dyDescent="0.2">
      <c r="H31" s="3" t="s">
        <v>35</v>
      </c>
      <c r="I31" s="2">
        <v>1</v>
      </c>
    </row>
    <row r="32" spans="2:11" s="4" customFormat="1" ht="25" customHeight="1" x14ac:dyDescent="0.2">
      <c r="H32" s="28" t="s">
        <v>34</v>
      </c>
      <c r="I32" s="29">
        <v>1</v>
      </c>
    </row>
    <row r="33" spans="2:11" ht="25" customHeight="1" x14ac:dyDescent="0.2">
      <c r="B33" s="1" t="s">
        <v>16</v>
      </c>
      <c r="C33" s="1">
        <v>1</v>
      </c>
      <c r="D33" s="1" t="s">
        <v>16</v>
      </c>
      <c r="E33" s="1">
        <v>1</v>
      </c>
      <c r="F33" s="1" t="s">
        <v>16</v>
      </c>
      <c r="G33" s="1">
        <v>1</v>
      </c>
      <c r="H33" s="2" t="s">
        <v>16</v>
      </c>
      <c r="I33" s="2">
        <v>3</v>
      </c>
      <c r="J33" s="2" t="s">
        <v>16</v>
      </c>
      <c r="K33" s="2">
        <v>2</v>
      </c>
    </row>
    <row r="34" spans="2:11" s="4" customFormat="1" ht="25" customHeight="1" x14ac:dyDescent="0.2"/>
    <row r="35" spans="2:11" ht="25" customHeight="1" thickBot="1" x14ac:dyDescent="0.25"/>
    <row r="36" spans="2:11" s="4" customFormat="1" ht="25" customHeight="1" thickBot="1" x14ac:dyDescent="0.25">
      <c r="B36" s="9"/>
      <c r="C36" s="12" t="s">
        <v>43</v>
      </c>
      <c r="D36" s="20" t="s">
        <v>54</v>
      </c>
      <c r="E36" s="20" t="s">
        <v>55</v>
      </c>
      <c r="F36" s="24" t="s">
        <v>53</v>
      </c>
      <c r="G36" s="8" t="s">
        <v>56</v>
      </c>
      <c r="H36" s="32" t="s">
        <v>47</v>
      </c>
    </row>
    <row r="37" spans="2:11" ht="25" customHeight="1" x14ac:dyDescent="0.2">
      <c r="B37" s="5" t="s">
        <v>7</v>
      </c>
      <c r="C37" s="13">
        <v>7</v>
      </c>
      <c r="D37" s="21">
        <v>7</v>
      </c>
      <c r="E37" s="21">
        <v>7</v>
      </c>
      <c r="F37" s="25">
        <v>4</v>
      </c>
      <c r="G37" s="2">
        <v>4</v>
      </c>
      <c r="H37" s="30">
        <f>3*C37+6*D37+2*F37</f>
        <v>71</v>
      </c>
      <c r="I37" s="2"/>
    </row>
    <row r="38" spans="2:11" s="4" customFormat="1" ht="24" customHeight="1" x14ac:dyDescent="0.2">
      <c r="B38" s="6" t="s">
        <v>8</v>
      </c>
      <c r="C38" s="14">
        <v>1</v>
      </c>
      <c r="D38" s="22">
        <v>0</v>
      </c>
      <c r="E38" s="22">
        <v>0</v>
      </c>
      <c r="F38" s="19">
        <v>0</v>
      </c>
      <c r="G38" s="4">
        <v>0</v>
      </c>
      <c r="H38" s="11">
        <f>3*C38+6*D38+2*F38</f>
        <v>3</v>
      </c>
    </row>
    <row r="39" spans="2:11" ht="25" customHeight="1" x14ac:dyDescent="0.2">
      <c r="B39" s="5" t="s">
        <v>22</v>
      </c>
      <c r="C39" s="13">
        <v>0</v>
      </c>
      <c r="D39" s="21">
        <v>1</v>
      </c>
      <c r="E39" s="21">
        <v>1</v>
      </c>
      <c r="F39" s="18">
        <v>0</v>
      </c>
      <c r="G39" s="1">
        <v>0</v>
      </c>
      <c r="H39" s="10">
        <f t="shared" ref="H39:H54" si="0">3*C39+6*D39+2*F39</f>
        <v>6</v>
      </c>
    </row>
    <row r="40" spans="2:11" s="4" customFormat="1" ht="25" customHeight="1" x14ac:dyDescent="0.2">
      <c r="B40" s="6" t="s">
        <v>9</v>
      </c>
      <c r="C40" s="14">
        <v>2</v>
      </c>
      <c r="D40" s="22">
        <v>2</v>
      </c>
      <c r="E40" s="22">
        <v>2</v>
      </c>
      <c r="F40" s="26">
        <v>1</v>
      </c>
      <c r="G40" s="29">
        <v>1</v>
      </c>
      <c r="H40" s="11">
        <f t="shared" si="0"/>
        <v>20</v>
      </c>
    </row>
    <row r="41" spans="2:11" ht="25" customHeight="1" x14ac:dyDescent="0.2">
      <c r="B41" s="5" t="s">
        <v>12</v>
      </c>
      <c r="C41" s="13">
        <v>2</v>
      </c>
      <c r="D41" s="21">
        <v>2</v>
      </c>
      <c r="E41" s="21">
        <v>2</v>
      </c>
      <c r="F41" s="25">
        <v>1</v>
      </c>
      <c r="G41" s="2">
        <v>1</v>
      </c>
      <c r="H41" s="10">
        <f t="shared" si="0"/>
        <v>20</v>
      </c>
    </row>
    <row r="42" spans="2:11" s="4" customFormat="1" ht="25" customHeight="1" x14ac:dyDescent="0.2">
      <c r="B42" s="6" t="s">
        <v>13</v>
      </c>
      <c r="C42" s="14">
        <v>2</v>
      </c>
      <c r="D42" s="22">
        <v>2</v>
      </c>
      <c r="E42" s="22">
        <v>2</v>
      </c>
      <c r="F42" s="26">
        <v>1</v>
      </c>
      <c r="G42" s="29">
        <v>1</v>
      </c>
      <c r="H42" s="11">
        <f t="shared" si="0"/>
        <v>20</v>
      </c>
    </row>
    <row r="43" spans="2:11" ht="25" customHeight="1" x14ac:dyDescent="0.2">
      <c r="B43" s="5" t="s">
        <v>15</v>
      </c>
      <c r="C43" s="13">
        <v>2</v>
      </c>
      <c r="D43" s="21">
        <v>2</v>
      </c>
      <c r="E43" s="21">
        <v>2</v>
      </c>
      <c r="F43" s="25">
        <v>1</v>
      </c>
      <c r="G43" s="2">
        <v>1</v>
      </c>
      <c r="H43" s="10">
        <f t="shared" si="0"/>
        <v>20</v>
      </c>
    </row>
    <row r="44" spans="2:11" s="4" customFormat="1" ht="25" customHeight="1" x14ac:dyDescent="0.2">
      <c r="B44" s="6" t="s">
        <v>11</v>
      </c>
      <c r="C44" s="14">
        <v>2</v>
      </c>
      <c r="D44" s="22">
        <v>3</v>
      </c>
      <c r="E44" s="22">
        <v>3</v>
      </c>
      <c r="F44" s="26">
        <v>4</v>
      </c>
      <c r="G44" s="29">
        <v>5</v>
      </c>
      <c r="H44" s="11">
        <f t="shared" si="0"/>
        <v>32</v>
      </c>
    </row>
    <row r="45" spans="2:11" ht="25" customHeight="1" x14ac:dyDescent="0.2">
      <c r="B45" s="5" t="s">
        <v>10</v>
      </c>
      <c r="C45" s="13">
        <v>1</v>
      </c>
      <c r="D45" s="21">
        <v>0</v>
      </c>
      <c r="E45" s="21">
        <v>0</v>
      </c>
      <c r="F45" s="18">
        <v>0</v>
      </c>
      <c r="G45" s="2">
        <v>1</v>
      </c>
      <c r="H45" s="10">
        <f t="shared" si="0"/>
        <v>3</v>
      </c>
    </row>
    <row r="46" spans="2:11" s="4" customFormat="1" ht="25" customHeight="1" x14ac:dyDescent="0.2">
      <c r="B46" s="6" t="s">
        <v>14</v>
      </c>
      <c r="C46" s="14">
        <v>2</v>
      </c>
      <c r="D46" s="22">
        <v>3</v>
      </c>
      <c r="E46" s="22">
        <v>3</v>
      </c>
      <c r="F46" s="26">
        <v>4</v>
      </c>
      <c r="G46" s="29">
        <v>5</v>
      </c>
      <c r="H46" s="11">
        <f t="shared" si="0"/>
        <v>32</v>
      </c>
    </row>
    <row r="47" spans="2:11" ht="25" customHeight="1" x14ac:dyDescent="0.2">
      <c r="B47" s="5" t="s">
        <v>23</v>
      </c>
      <c r="C47" s="13">
        <v>0</v>
      </c>
      <c r="D47" s="21">
        <v>2</v>
      </c>
      <c r="E47" s="21">
        <v>2</v>
      </c>
      <c r="F47" s="18">
        <v>0</v>
      </c>
      <c r="G47" s="1">
        <v>0</v>
      </c>
      <c r="H47" s="10">
        <f t="shared" si="0"/>
        <v>12</v>
      </c>
    </row>
    <row r="48" spans="2:11" s="4" customFormat="1" ht="25" customHeight="1" x14ac:dyDescent="0.2">
      <c r="B48" s="6" t="s">
        <v>42</v>
      </c>
      <c r="C48" s="14">
        <v>0</v>
      </c>
      <c r="D48" s="22">
        <v>0</v>
      </c>
      <c r="E48" s="22">
        <v>0</v>
      </c>
      <c r="F48" s="19">
        <v>0</v>
      </c>
      <c r="G48" s="29">
        <v>2</v>
      </c>
      <c r="H48" s="11">
        <f t="shared" si="0"/>
        <v>0</v>
      </c>
    </row>
    <row r="49" spans="2:8" ht="25" customHeight="1" x14ac:dyDescent="0.2">
      <c r="B49" s="5" t="s">
        <v>24</v>
      </c>
      <c r="C49" s="13">
        <v>0</v>
      </c>
      <c r="D49" s="21">
        <v>1</v>
      </c>
      <c r="E49" s="21">
        <v>1</v>
      </c>
      <c r="F49" s="18">
        <v>0</v>
      </c>
      <c r="G49" s="2">
        <v>1</v>
      </c>
      <c r="H49" s="10">
        <f t="shared" si="0"/>
        <v>6</v>
      </c>
    </row>
    <row r="50" spans="2:8" s="4" customFormat="1" ht="25" customHeight="1" x14ac:dyDescent="0.2">
      <c r="B50" s="6" t="s">
        <v>25</v>
      </c>
      <c r="C50" s="14">
        <v>0</v>
      </c>
      <c r="D50" s="22">
        <v>1</v>
      </c>
      <c r="E50" s="22">
        <v>1</v>
      </c>
      <c r="F50" s="19">
        <v>0</v>
      </c>
      <c r="G50" s="29">
        <v>1</v>
      </c>
      <c r="H50" s="11">
        <f t="shared" si="0"/>
        <v>6</v>
      </c>
    </row>
    <row r="51" spans="2:8" ht="25" customHeight="1" x14ac:dyDescent="0.2">
      <c r="B51" s="5" t="s">
        <v>26</v>
      </c>
      <c r="C51" s="13">
        <v>0</v>
      </c>
      <c r="D51" s="21">
        <v>1</v>
      </c>
      <c r="E51" s="21">
        <v>1</v>
      </c>
      <c r="F51" s="18">
        <v>0</v>
      </c>
      <c r="G51" s="2">
        <v>1</v>
      </c>
      <c r="H51" s="10">
        <f t="shared" si="0"/>
        <v>6</v>
      </c>
    </row>
    <row r="52" spans="2:8" s="4" customFormat="1" ht="25" customHeight="1" x14ac:dyDescent="0.2">
      <c r="B52" s="6" t="s">
        <v>35</v>
      </c>
      <c r="C52" s="15">
        <v>0</v>
      </c>
      <c r="D52" s="22">
        <v>0</v>
      </c>
      <c r="E52" s="22">
        <v>0</v>
      </c>
      <c r="F52" s="26">
        <v>1</v>
      </c>
      <c r="G52" s="4">
        <v>0</v>
      </c>
      <c r="H52" s="11">
        <f t="shared" si="0"/>
        <v>2</v>
      </c>
    </row>
    <row r="53" spans="2:8" ht="25" customHeight="1" x14ac:dyDescent="0.2">
      <c r="B53" s="5" t="s">
        <v>34</v>
      </c>
      <c r="C53" s="16">
        <v>0</v>
      </c>
      <c r="D53" s="21">
        <v>0</v>
      </c>
      <c r="E53" s="21">
        <v>0</v>
      </c>
      <c r="F53" s="25">
        <v>1</v>
      </c>
      <c r="G53" s="1">
        <v>0</v>
      </c>
      <c r="H53" s="10">
        <f t="shared" si="0"/>
        <v>2</v>
      </c>
    </row>
    <row r="54" spans="2:8" s="4" customFormat="1" ht="25" customHeight="1" thickBot="1" x14ac:dyDescent="0.25">
      <c r="B54" s="7" t="s">
        <v>16</v>
      </c>
      <c r="C54" s="17">
        <v>1</v>
      </c>
      <c r="D54" s="23">
        <v>1</v>
      </c>
      <c r="E54" s="23">
        <v>1</v>
      </c>
      <c r="F54" s="27">
        <v>3</v>
      </c>
      <c r="G54" s="31">
        <v>1</v>
      </c>
      <c r="H54" s="7">
        <f t="shared" si="0"/>
        <v>15</v>
      </c>
    </row>
  </sheetData>
  <hyperlinks>
    <hyperlink ref="B20" r:id="rId1" display="https://www.thorlabs.com/thorproduct.cfm?partnumber=SM05L05" xr:uid="{94852877-49F4-7941-8D83-6A867CA573F2}"/>
    <hyperlink ref="B21" r:id="rId2" display="https://www.thorlabs.com/thorproduct.cfm?partnumber=SM05FCA2" xr:uid="{4DE5ECD4-A4F4-1844-B63A-FAD477BC46C1}"/>
    <hyperlink ref="B19" r:id="rId3" xr:uid="{93B50D2E-D785-E646-9FE2-E8D0232BFA7A}"/>
    <hyperlink ref="B16" r:id="rId4" display="https://www.thorlabs.com/thorproduct.cfm?partnumber=RSP05" xr:uid="{54960159-506E-3745-ABE3-8CAA4976593F}"/>
    <hyperlink ref="B25" r:id="rId5" display="https://www.thorlabs.com/thorproduct.cfm?partnumber=BB05-E03" xr:uid="{A95DFB34-A934-0845-9889-06C25CFFFC9C}"/>
    <hyperlink ref="B22" r:id="rId6" display="https://www.thorlabs.com/thorproduct.cfm?partnumber=S05TM09" xr:uid="{3047A99F-480C-EE45-A7BE-A758E8CED758}"/>
    <hyperlink ref="B24" r:id="rId7" xr:uid="{20A3F124-63DA-D946-9BF2-AB061D59F6D8}"/>
    <hyperlink ref="B23" r:id="rId8" xr:uid="{F81DEC47-5CF1-994F-9FC3-BC7111A5CA36}"/>
    <hyperlink ref="B17" r:id="rId9" xr:uid="{DA293AD5-BEFE-8E48-B893-3A224AC2C97C}"/>
    <hyperlink ref="D16" r:id="rId10" xr:uid="{2C6A44DB-7D97-094B-8460-8E4B23793AD2}"/>
    <hyperlink ref="D19" r:id="rId11" xr:uid="{87F46F50-D55F-FA43-AD62-647EB8E70F63}"/>
    <hyperlink ref="D28" r:id="rId12" xr:uid="{AB7F1CA7-DAC5-744D-AC7E-86CFA6A8005A}"/>
    <hyperlink ref="D29" r:id="rId13" xr:uid="{2CBC193C-1EE6-DE40-8181-CD5340C47510}"/>
    <hyperlink ref="D30" r:id="rId14" xr:uid="{D3EC7B6A-5F65-FA4C-835B-2C36E22EA34C}"/>
    <hyperlink ref="D23" r:id="rId15" xr:uid="{A0421E9D-B17D-DA4F-9654-51CF1FB875FF}"/>
    <hyperlink ref="D18" r:id="rId16" xr:uid="{56F18A93-ABCE-4745-BF16-6761EFD3050A}"/>
    <hyperlink ref="D25" r:id="rId17" display="circular_mirror" xr:uid="{8794FF4B-C73D-8447-BF89-389E58D16BB1}"/>
    <hyperlink ref="D26" r:id="rId18" xr:uid="{9E12C47F-FCEB-774E-AD1A-814E3ED6D976}"/>
    <hyperlink ref="F16" r:id="rId19" xr:uid="{9E4E28FE-9A43-F447-93E3-F29165326D1F}"/>
    <hyperlink ref="F19" r:id="rId20" xr:uid="{853A4942-5DEF-FF48-98AF-644E45C94EE5}"/>
    <hyperlink ref="F28" r:id="rId21" xr:uid="{28CEDECC-154C-9049-A2EC-344EBA5D1937}"/>
    <hyperlink ref="F29" r:id="rId22" xr:uid="{56E0A91D-BC2C-D843-81BD-3DD44D0F9D4F}"/>
    <hyperlink ref="F30" r:id="rId23" xr:uid="{ED3D543D-6007-C140-BDE2-B4482F1BE1EC}"/>
    <hyperlink ref="F23" r:id="rId24" xr:uid="{BA3F38AC-269E-7F40-9481-304BD553DFED}"/>
    <hyperlink ref="F18" r:id="rId25" xr:uid="{0EEDDA40-8D13-2A45-A098-C3BE6D6C268A}"/>
    <hyperlink ref="F25" r:id="rId26" display="circular_mirror" xr:uid="{147D8545-B2CE-9244-84B1-F864AA0CF05D}"/>
    <hyperlink ref="F26" r:id="rId27" xr:uid="{C7110482-D4C6-E640-8D36-9938E953183E}"/>
    <hyperlink ref="H16" r:id="rId28" display="https://www.thorlabs.com/thorproduct.cfm?partnumber=RSP05" xr:uid="{468F10C7-2666-DF49-9E78-6727E0C2A5C7}"/>
    <hyperlink ref="H23" r:id="rId29" display="https://www.newport.com/p/M05" xr:uid="{B4DC8D14-EA85-B649-915E-BFF6790D49E8}"/>
    <hyperlink ref="H20" r:id="rId30" display="https://www.thorlabs.com/thorproduct.cfm?partnumber=SM05L05" xr:uid="{503BB53D-7554-5A49-800C-35D21642A163}"/>
    <hyperlink ref="H21" r:id="rId31" display="https://www.thorlabs.com/thorproduct.cfm?partnumber=SM05FCA2" xr:uid="{A9A456AF-3822-5F49-B5D2-CF653136FB57}"/>
    <hyperlink ref="H25" r:id="rId32" display="https://www.thorlabs.com/thorproduct.cfm?partnumber=BB05-E03" xr:uid="{96F5BCFD-E56F-1C47-839D-9DCD980821CE}"/>
    <hyperlink ref="H22" r:id="rId33" display="https://www.thorlabs.com/thorproduct.cfm?partnumber=S05TM09" xr:uid="{B2A0DD23-6535-6A4A-9F22-F21F524FB68E}"/>
    <hyperlink ref="H32" r:id="rId34" display="https://www.thorlabs.com/thorproduct.cfm?partnumber=PDB250A" xr:uid="{965469D5-8856-4040-AB1F-8636021BC616}"/>
    <hyperlink ref="H31" r:id="rId35" display="https://www.thorlabs.com/thorproduct.cfm?partnumber=GC25075-RB" xr:uid="{2962E1FB-DC99-294A-AD37-7420656DD9F8}"/>
    <hyperlink ref="J16" r:id="rId36" display="https://www.thorlabs.com/thorproduct.cfm?partnumber=RSP05" xr:uid="{55D4FEB4-C668-594C-A2CE-0B58E2279674}"/>
    <hyperlink ref="J24" r:id="rId37" display="http://thorlabs.com/thorproduct.cfm?partnumber=FMP05" xr:uid="{CF222585-113C-9646-8AB3-750A3B09C640}"/>
    <hyperlink ref="J23" r:id="rId38" display="https://www.newport.com/p/M05" xr:uid="{1F91AB5B-1CEB-124E-BCE4-EB368C17A1F7}"/>
    <hyperlink ref="J19" r:id="rId39" display="https://www.thorlabs.com/thorproduct.cfm?partnumber=KM05T" xr:uid="{EF574ABB-BDDE-9146-8215-3832E92AA2F7}"/>
    <hyperlink ref="J20" r:id="rId40" display="https://www.thorlabs.com/thorproduct.cfm?partnumber=SM05L05" xr:uid="{643B60EF-62FA-2E4E-B5EC-891F0C0BE2BB}"/>
    <hyperlink ref="J21" r:id="rId41" display="https://www.thorlabs.com/thorproduct.cfm?partnumber=SM05FCA2" xr:uid="{CE515046-03D4-A142-9C5E-5B00942D9453}"/>
    <hyperlink ref="J25" r:id="rId42" display="https://www.thorlabs.com/thorproduct.cfm?partnumber=BB05-E03" xr:uid="{1FC3A7EF-636E-D144-B6E9-6C8C2249E021}"/>
    <hyperlink ref="J22" r:id="rId43" display="https://www.thorlabs.com/thorproduct.cfm?partnumber=S05TM09" xr:uid="{9B2A891A-32A3-6B4D-B955-D55629588342}"/>
    <hyperlink ref="J30" r:id="rId44" display="shutter" xr:uid="{DCF6DF43-0919-B540-835E-A9D43FBC5A97}"/>
    <hyperlink ref="J28" r:id="rId45" display="https://gandh.com/products/acousto-optics/modulators/aomo-3100-125" xr:uid="{9C4CAB54-1D94-3E40-AF84-6209327FE49B}"/>
    <hyperlink ref="J29" r:id="rId46" display="https://www.thorlabs.us/thorproduct.cfm?partnumber=IDA12-P5" xr:uid="{4001946A-A173-F34B-A28E-C0D4C95DACAC}"/>
    <hyperlink ref="H19" r:id="rId47" xr:uid="{3A0DA527-6288-3649-A082-96965571B7F7}"/>
    <hyperlink ref="J27" r:id="rId48" xr:uid="{46D20DD0-2605-5645-A2A8-13A237591B20}"/>
    <hyperlink ref="D20" r:id="rId49" display="https://www.thorlabs.com/thorproduct.cfm?partnumber=SM05L05" xr:uid="{B08CFDD0-E6FC-B943-A7C0-6C9466713F61}"/>
    <hyperlink ref="D21" r:id="rId50" display="https://www.thorlabs.com/thorproduct.cfm?partnumber=SM05FCA2" xr:uid="{480B9159-91BD-2A49-9387-411A90CA1DB6}"/>
    <hyperlink ref="D22" r:id="rId51" display="https://www.thorlabs.com/thorproduct.cfm?partnumber=S05TM09" xr:uid="{BECA18CB-3CB2-5A4F-BBDC-88611124C849}"/>
    <hyperlink ref="F20" r:id="rId52" display="https://www.thorlabs.com/thorproduct.cfm?partnumber=SM05L05" xr:uid="{AFD1D6C9-3145-DA46-93F5-575BCE8DC0BA}"/>
    <hyperlink ref="F21" r:id="rId53" display="https://www.thorlabs.com/thorproduct.cfm?partnumber=SM05FCA2" xr:uid="{02872F44-0D6B-064A-895B-AB3CA4DA356D}"/>
    <hyperlink ref="F22" r:id="rId54" display="https://www.thorlabs.com/thorproduct.cfm?partnumber=S05TM09" xr:uid="{7702845A-0091-3742-B659-851A8F373394}"/>
    <hyperlink ref="B40" r:id="rId55" xr:uid="{2C2B9FDB-CA56-874C-98D7-66AAFD8B2060}"/>
    <hyperlink ref="B49" r:id="rId56" xr:uid="{2FDDCC1D-8774-3D47-81B2-30CB791FEF7E}"/>
    <hyperlink ref="B50" r:id="rId57" xr:uid="{BE5BA934-8F7C-1D4A-BAFD-D1A145E81D82}"/>
    <hyperlink ref="B51" r:id="rId58" xr:uid="{F37F8E0F-9DA1-BB47-BEA7-F3B1AAFCC5D1}"/>
    <hyperlink ref="B44" r:id="rId59" xr:uid="{16F885E7-B32B-B546-969F-F9728E5C173D}"/>
    <hyperlink ref="B39" r:id="rId60" xr:uid="{3B846664-DBAF-4E42-B930-7EB667A91B0B}"/>
    <hyperlink ref="B46" r:id="rId61" display="circular_mirror" xr:uid="{C40EBABF-AAFA-2145-A140-8712B43A44BC}"/>
    <hyperlink ref="B47" r:id="rId62" xr:uid="{867CC9BE-2FFC-BB49-93C8-034925CD73C0}"/>
    <hyperlink ref="B41" r:id="rId63" display="https://www.thorlabs.com/thorproduct.cfm?partnumber=SM05L05" xr:uid="{A9B2B57F-C137-3545-A9DA-6C9F1F3BB71F}"/>
    <hyperlink ref="B42" r:id="rId64" display="https://www.thorlabs.com/thorproduct.cfm?partnumber=SM05FCA2" xr:uid="{06A8027E-D395-DF47-8DE1-1038112FC766}"/>
    <hyperlink ref="B43" r:id="rId65" display="https://www.thorlabs.com/thorproduct.cfm?partnumber=S05TM09" xr:uid="{508909BE-0194-384B-99C3-CAE3C1FD5D2D}"/>
    <hyperlink ref="B38" r:id="rId66" xr:uid="{3A804FE6-E87F-C346-8EDB-CE7691B0F9BF}"/>
    <hyperlink ref="B45" r:id="rId67" xr:uid="{DDBBDA41-CE4D-934D-9A43-B84921800BDA}"/>
    <hyperlink ref="B48" r:id="rId68" xr:uid="{B66F66A3-2B9A-5848-BA2B-CA2CF49A1C1F}"/>
    <hyperlink ref="B53" r:id="rId69" display="https://www.thorlabs.com/thorproduct.cfm?partnumber=PDB250A" xr:uid="{DB2F488F-B5E0-834D-80C1-32E7E9E22B5A}"/>
    <hyperlink ref="B52" r:id="rId70" display="https://www.thorlabs.com/thorproduct.cfm?partnumber=GC25075-RB" xr:uid="{D9829EBD-EEEB-E545-9C22-9A8952446714}"/>
    <hyperlink ref="B37" r:id="rId71" display="https://www.thorlabs.com/thorproduct.cfm?partnumber=RSP05" xr:uid="{0CCEABA1-7C35-4447-B82D-95A55BA835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KIM</dc:creator>
  <cp:lastModifiedBy>MIN KIM</cp:lastModifiedBy>
  <dcterms:created xsi:type="dcterms:W3CDTF">2025-10-23T04:39:08Z</dcterms:created>
  <dcterms:modified xsi:type="dcterms:W3CDTF">2026-01-15T00:58:16Z</dcterms:modified>
</cp:coreProperties>
</file>